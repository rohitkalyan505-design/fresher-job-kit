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-003 Dashboard" sheetId="1" state="visible" r:id="rId1"/>
    <sheet xmlns:r="http://schemas.openxmlformats.org/officeDocument/2006/relationships" name="Content Performance Log" sheetId="2" state="visible" r:id="rId2"/>
    <sheet xmlns:r="http://schemas.openxmlformats.org/officeDocument/2006/relationships" name="Inquiries &amp; Feature Clus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0"/>
    </font>
    <font>
      <name val="Calibri"/>
      <b val="1"/>
      <color rgb="00475569"/>
      <sz val="10"/>
    </font>
    <font>
      <name val="Calibri"/>
      <b val="1"/>
      <color rgb="000F172A"/>
      <sz val="18"/>
    </font>
    <font>
      <name val="Calibri"/>
      <b val="1"/>
      <color rgb="00FFFFFF"/>
      <sz val="11"/>
    </font>
    <font>
      <name val="Calibr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EXP-003 EXPERIMENT METRICS &amp; VALIDATION DASHBOARD</t>
        </is>
      </c>
    </row>
    <row r="2">
      <c r="A2" s="2" t="inlineStr">
        <is>
          <t>Automated aggregation across LinkedIn, YouTube Shorts, Instagram, and Reddit distribution channels.</t>
        </is>
      </c>
    </row>
    <row r="4">
      <c r="B4" s="3" t="inlineStr">
        <is>
          <t>Total Impressions</t>
        </is>
      </c>
      <c r="C4" s="4" t="n"/>
      <c r="D4" s="3" t="inlineStr">
        <is>
          <t>Total Saves / Bookmarks</t>
        </is>
      </c>
      <c r="E4" s="4" t="n"/>
      <c r="F4" s="3" t="inlineStr">
        <is>
          <t>Total Kit Downloads</t>
        </is>
      </c>
      <c r="G4" s="4" t="n"/>
    </row>
    <row r="5">
      <c r="B5" s="5">
        <f>SUM('Content Performance Log'!E4:E100)</f>
        <v/>
      </c>
      <c r="C5" s="4" t="n"/>
      <c r="D5" s="5">
        <f>SUM('Content Performance Log'!F4:F100)</f>
        <v/>
      </c>
      <c r="E5" s="4" t="n"/>
      <c r="F5" s="5">
        <f>SUM('Content Performance Log'!K4:K100)</f>
        <v/>
      </c>
      <c r="G5" s="4" t="n"/>
    </row>
    <row r="7">
      <c r="B7" s="3" t="inlineStr">
        <is>
          <t>Profile Visits</t>
        </is>
      </c>
      <c r="C7" s="4" t="n"/>
      <c r="D7" s="3" t="inlineStr">
        <is>
          <t>Direct Feedback Items</t>
        </is>
      </c>
      <c r="E7" s="4" t="n"/>
      <c r="F7" s="3" t="inlineStr">
        <is>
          <t>Paid Signals Logged</t>
        </is>
      </c>
      <c r="G7" s="4" t="n"/>
    </row>
    <row r="8">
      <c r="B8" s="5">
        <f>SUM('Content Performance Log'!I4:I100)</f>
        <v/>
      </c>
      <c r="C8" s="4" t="n"/>
      <c r="D8" s="5">
        <f>COUNTA('Inquiries &amp; Feature Clusters'!A4:A500)</f>
        <v/>
      </c>
      <c r="E8" s="4" t="n"/>
      <c r="F8" s="5">
        <f>COUNTIF('Inquiries &amp; Feature Clusters'!G4:G500, "Yes")</f>
        <v/>
      </c>
      <c r="G8" s="4" t="n"/>
    </row>
  </sheetData>
  <mergeCells count="12">
    <mergeCell ref="D8:E8"/>
    <mergeCell ref="F4:G4"/>
    <mergeCell ref="D7:E7"/>
    <mergeCell ref="B7:C7"/>
    <mergeCell ref="B5:C5"/>
    <mergeCell ref="F5:G5"/>
    <mergeCell ref="D5:E5"/>
    <mergeCell ref="D4:E4"/>
    <mergeCell ref="B8:C8"/>
    <mergeCell ref="B4:C4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M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8" customWidth="1" min="13" max="13"/>
  </cols>
  <sheetData>
    <row r="3" ht="24" customHeight="1">
      <c r="A3" s="6" t="inlineStr">
        <is>
          <t>Post ID</t>
        </is>
      </c>
      <c r="B3" s="6" t="inlineStr">
        <is>
          <t>Platform</t>
        </is>
      </c>
      <c r="C3" s="6" t="inlineStr">
        <is>
          <t>Publish Date</t>
        </is>
      </c>
      <c r="D3" s="6" t="inlineStr">
        <is>
          <t>Content Hook / Headline</t>
        </is>
      </c>
      <c r="E3" s="6" t="inlineStr">
        <is>
          <t>Impressions / Views</t>
        </is>
      </c>
      <c r="F3" s="6" t="inlineStr">
        <is>
          <t>Saves / Bookmarks</t>
        </is>
      </c>
      <c r="G3" s="6" t="inlineStr">
        <is>
          <t>Shares / Reposts</t>
        </is>
      </c>
      <c r="H3" s="6" t="inlineStr">
        <is>
          <t>Comments</t>
        </is>
      </c>
      <c r="I3" s="6" t="inlineStr">
        <is>
          <t>Profile Visits</t>
        </is>
      </c>
      <c r="J3" s="6" t="inlineStr">
        <is>
          <t>Link Clicks</t>
        </is>
      </c>
      <c r="K3" s="6" t="inlineStr">
        <is>
          <t>Kit Downloads</t>
        </is>
      </c>
      <c r="L3" s="6" t="inlineStr">
        <is>
          <t>Save Rate %</t>
        </is>
      </c>
      <c r="M3" s="6" t="inlineStr">
        <is>
          <t>Click-to-Download %</t>
        </is>
      </c>
    </row>
    <row r="4" ht="20" customHeight="1">
      <c r="A4" s="7" t="inlineStr">
        <is>
          <t>POST-001-LI</t>
        </is>
      </c>
      <c r="B4" s="7" t="inlineStr">
        <is>
          <t>LinkedIn (rohitkalyan505)</t>
        </is>
      </c>
      <c r="C4" s="7" t="inlineStr">
        <is>
          <t>2026-10-02</t>
        </is>
      </c>
      <c r="D4" s="8" t="inlineStr">
        <is>
          <t>5 Things Indian Freshers Should Remove from Their Resumes (Carousel)</t>
        </is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10">
        <f>IF(E4&gt;0, F4/E4, 0)</f>
        <v/>
      </c>
      <c r="M4" s="10">
        <f>IF(J4&gt;0, K4/J4, 0)</f>
        <v/>
      </c>
    </row>
    <row r="5" ht="20" customHeight="1">
      <c r="A5" s="7" t="inlineStr">
        <is>
          <t>POST-001-IG</t>
        </is>
      </c>
      <c r="B5" s="7" t="inlineStr">
        <is>
          <t>Instagram Reel</t>
        </is>
      </c>
      <c r="C5" s="7" t="inlineStr">
        <is>
          <t>TBD</t>
        </is>
      </c>
      <c r="D5" s="8" t="inlineStr">
        <is>
          <t>Stop Using 1990s Biodatas (50s Video)</t>
        </is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10">
        <f>IF(E5&gt;0, F5/E5, 0)</f>
        <v/>
      </c>
      <c r="M5" s="10">
        <f>IF(J5&gt;0, K5/J5, 0)</f>
        <v/>
      </c>
    </row>
    <row r="6" ht="20" customHeight="1">
      <c r="A6" s="7" t="inlineStr">
        <is>
          <t>POST-001-YT</t>
        </is>
      </c>
      <c r="B6" s="7" t="inlineStr">
        <is>
          <t>YouTube Shorts</t>
        </is>
      </c>
      <c r="C6" s="7" t="inlineStr">
        <is>
          <t>TBD</t>
        </is>
      </c>
      <c r="D6" s="8" t="inlineStr">
        <is>
          <t>Why Your Canva Resume Fails ATS Parsing (55s Demo)</t>
        </is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>
        <f>IF(E6&gt;0, F6/E6, 0)</f>
        <v/>
      </c>
      <c r="M6" s="10">
        <f>IF(J6&gt;0, K6/J6, 0)</f>
        <v/>
      </c>
    </row>
    <row r="7" ht="20" customHeight="1">
      <c r="A7" s="7" t="inlineStr">
        <is>
          <t>POST-001-RD</t>
        </is>
      </c>
      <c r="B7" s="7" t="inlineStr">
        <is>
          <t>Reddit (r/devIndia)</t>
        </is>
      </c>
      <c r="C7" s="7" t="inlineStr">
        <is>
          <t>TBD</t>
        </is>
      </c>
      <c r="D7" s="8" t="inlineStr">
        <is>
          <t>Guide: The 5 Biodata Relics Wasting Fresher Resume Space</t>
        </is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10">
        <f>IF(E7&gt;0, F7/E7, 0)</f>
        <v/>
      </c>
      <c r="M7" s="10">
        <f>IF(J7&gt;0, K7/J7,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22" customWidth="1" min="5" max="5"/>
    <col width="45" customWidth="1" min="6" max="6"/>
    <col width="25" customWidth="1" min="7" max="7"/>
    <col width="30" customWidth="1" min="8" max="8"/>
  </cols>
  <sheetData>
    <row r="3" ht="24" customHeight="1">
      <c r="A3" s="6" t="inlineStr">
        <is>
          <t>Inquiry ID</t>
        </is>
      </c>
      <c r="B3" s="6" t="inlineStr">
        <is>
          <t>Date Logged</t>
        </is>
      </c>
      <c r="C3" s="6" t="inlineStr">
        <is>
          <t>Platform Source</t>
        </is>
      </c>
      <c r="D3" s="6" t="inlineStr">
        <is>
          <t>User Background</t>
        </is>
      </c>
      <c r="E3" s="6" t="inlineStr">
        <is>
          <t>Category</t>
        </is>
      </c>
      <c r="F3" s="6" t="inlineStr">
        <is>
          <t>Verbatim Feedback / Request</t>
        </is>
      </c>
      <c r="G3" s="6" t="inlineStr">
        <is>
          <t>Paid Product Signal? (Yes/No)</t>
        </is>
      </c>
      <c r="H3" s="6" t="inlineStr">
        <is>
          <t>Action / Follow-up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2026-10-02T16:20:22Z</dcterms:created>
  <dcterms:modified xmlns:dcterms="http://purl.org/dc/terms/" xmlns:xsi="http://www.w3.org/2001/XMLSchema-instance" xsi:type="dcterms:W3CDTF">2026-10-02T16:20:22Z</dcterms:modified>
</cp:coreProperties>
</file>