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Dashboard" sheetId="1" state="visible" r:id="rId1"/>
    <sheet xmlns:r="http://schemas.openxmlformats.org/officeDocument/2006/relationships" name="Applications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475569"/>
      <sz val="10"/>
    </font>
    <font>
      <name val="Calibri"/>
      <b val="1"/>
      <color rgb="00475569"/>
      <sz val="10"/>
    </font>
    <font>
      <name val="Calibri"/>
      <b val="1"/>
      <color rgb="000F172A"/>
      <sz val="20"/>
    </font>
    <font>
      <name val="Calibri"/>
      <b val="1"/>
      <color rgb="000F172A"/>
      <sz val="11"/>
    </font>
    <font>
      <name val="Calibri"/>
      <color rgb="00334155"/>
      <sz val="9.5"/>
    </font>
    <font>
      <name val="Calibri"/>
      <b val="1"/>
      <color rgb="00FFFFFF"/>
      <sz val="11"/>
    </font>
    <font>
      <name val="Calibri"/>
      <color rgb="001E293B"/>
      <sz val="9.5"/>
    </font>
  </fonts>
  <fills count="4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FRESHER JOB APPLICATION DASHBOARD</t>
        </is>
      </c>
    </row>
    <row r="2">
      <c r="A2" s="2" t="inlineStr">
        <is>
          <t>Summary metrics automatically calculated from the 'Applications Log' tab.</t>
        </is>
      </c>
    </row>
    <row r="4">
      <c r="B4" s="3" t="inlineStr">
        <is>
          <t>Total Tracked</t>
        </is>
      </c>
      <c r="C4" s="4" t="n"/>
      <c r="D4" s="3" t="inlineStr">
        <is>
          <t>Submitted</t>
        </is>
      </c>
      <c r="E4" s="4" t="n"/>
      <c r="F4" s="3" t="inlineStr">
        <is>
          <t>Assessments (OA)</t>
        </is>
      </c>
      <c r="G4" s="4" t="n"/>
    </row>
    <row r="5">
      <c r="B5" s="5">
        <f>COUNTA('Applications Log'!A4:A500)</f>
        <v/>
      </c>
      <c r="C5" s="4" t="n"/>
      <c r="D5" s="5">
        <f>COUNTIF('Applications Log'!H4:H500, "Applied") + COUNTIF('Applications Log'!H4:H500, "Assessment (OA)") + COUNTIF('Applications Log'!H4:H500, "Interviewing") + COUNTIF('Applications Log'!H4:H500, "Offer Received") + COUNTIF('Applications Log'!H4:H500, "Rejected") + COUNTIF('Applications Log'!H4:H500, "Ghosted / No Reply")</f>
        <v/>
      </c>
      <c r="E5" s="4" t="n"/>
      <c r="F5" s="5">
        <f>COUNTIF('Applications Log'!H4:H500, "Assessment (OA)")</f>
        <v/>
      </c>
      <c r="G5" s="4" t="n"/>
    </row>
    <row r="7">
      <c r="B7" s="3" t="inlineStr">
        <is>
          <t>Active Interviews</t>
        </is>
      </c>
      <c r="C7" s="4" t="n"/>
      <c r="D7" s="3" t="inlineStr">
        <is>
          <t>Offers Received</t>
        </is>
      </c>
      <c r="E7" s="4" t="n"/>
      <c r="F7" s="3" t="inlineStr">
        <is>
          <t>Rejections Logged</t>
        </is>
      </c>
      <c r="G7" s="4" t="n"/>
    </row>
    <row r="8">
      <c r="B8" s="5">
        <f>COUNTIF('Applications Log'!H4:H500, "Interviewing")</f>
        <v/>
      </c>
      <c r="C8" s="4" t="n"/>
      <c r="D8" s="5">
        <f>COUNTIF('Applications Log'!H4:H500, "Offer Received")</f>
        <v/>
      </c>
      <c r="E8" s="4" t="n"/>
      <c r="F8" s="5">
        <f>COUNTIF('Applications Log'!H4:H500, "Rejected")</f>
        <v/>
      </c>
      <c r="G8" s="4" t="n"/>
    </row>
    <row r="11">
      <c r="B11" s="6" t="inlineStr">
        <is>
          <t>HOW TO USE THIS TRACKER:</t>
        </is>
      </c>
    </row>
    <row r="12">
      <c r="B12" s="7" t="inlineStr">
        <is>
          <t>1. Open the 'Applications Log' sheet to record every internship or job application.</t>
        </is>
      </c>
    </row>
    <row r="13">
      <c r="B13" s="7" t="inlineStr">
        <is>
          <t>2. Use the dropdown menus in 'Source', 'Status', and 'Interview Stage' to keep data consistent.</t>
        </is>
      </c>
    </row>
    <row r="14">
      <c r="B14" s="7" t="inlineStr">
        <is>
          <t>3. Track the exact resume version you submitted (e.g. Resume_Java_v1.pdf vs Resume_React_v2.pdf).</t>
        </is>
      </c>
    </row>
    <row r="15">
      <c r="B15" s="7" t="inlineStr">
        <is>
          <t>4. Set a Follow-up Date 7–10 days after applying to send a polite follow-up or connection request.</t>
        </is>
      </c>
    </row>
    <row r="16">
      <c r="B16" s="7" t="inlineStr">
        <is>
          <t>5. Avoid applying blindly to 50 jobs/day. Aim for 3–5 tailored, high-intent applications per day.</t>
        </is>
      </c>
    </row>
  </sheetData>
  <mergeCells count="12">
    <mergeCell ref="D8:E8"/>
    <mergeCell ref="F4:G4"/>
    <mergeCell ref="D7:E7"/>
    <mergeCell ref="B7:C7"/>
    <mergeCell ref="B5:C5"/>
    <mergeCell ref="F5:G5"/>
    <mergeCell ref="D5:E5"/>
    <mergeCell ref="D4:E4"/>
    <mergeCell ref="B8:C8"/>
    <mergeCell ref="B4:C4"/>
    <mergeCell ref="F7:G7"/>
    <mergeCell ref="F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6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6" customWidth="1" min="3" max="3"/>
    <col width="13" customWidth="1" min="4" max="4"/>
    <col width="13" customWidth="1" min="5" max="5"/>
    <col width="20" customWidth="1" min="6" max="6"/>
    <col width="20" customWidth="1" min="7" max="7"/>
    <col width="20" customWidth="1" min="8" max="8"/>
    <col width="20" customWidth="1" min="9" max="9"/>
    <col width="14" customWidth="1" min="10" max="10"/>
    <col width="22" customWidth="1" min="11" max="11"/>
    <col width="35" customWidth="1" min="12" max="12"/>
  </cols>
  <sheetData>
    <row r="3" ht="24" customHeight="1">
      <c r="A3" s="8" t="inlineStr">
        <is>
          <t>Company Name</t>
        </is>
      </c>
      <c r="B3" s="8" t="inlineStr">
        <is>
          <t>Role Applied For</t>
        </is>
      </c>
      <c r="C3" s="8" t="inlineStr">
        <is>
          <t>Job URL / Link</t>
        </is>
      </c>
      <c r="D3" s="8" t="inlineStr">
        <is>
          <t>Date Found</t>
        </is>
      </c>
      <c r="E3" s="8" t="inlineStr">
        <is>
          <t>Date Applied</t>
        </is>
      </c>
      <c r="F3" s="8" t="inlineStr">
        <is>
          <t>Resume Version</t>
        </is>
      </c>
      <c r="G3" s="8" t="inlineStr">
        <is>
          <t>Source</t>
        </is>
      </c>
      <c r="H3" s="8" t="inlineStr">
        <is>
          <t>Status</t>
        </is>
      </c>
      <c r="I3" s="8" t="inlineStr">
        <is>
          <t>Interview Stage</t>
        </is>
      </c>
      <c r="J3" s="8" t="inlineStr">
        <is>
          <t>Follow-up Date</t>
        </is>
      </c>
      <c r="K3" s="8" t="inlineStr">
        <is>
          <t>Contact / Recruiter Name</t>
        </is>
      </c>
      <c r="L3" s="8" t="inlineStr">
        <is>
          <t>Notes &amp; Next Steps</t>
        </is>
      </c>
    </row>
    <row r="4" ht="20" customHeight="1">
      <c r="A4" s="9" t="inlineStr">
        <is>
          <t>Infosys / TCS (Off-Campus)</t>
        </is>
      </c>
      <c r="B4" s="9" t="inlineStr">
        <is>
          <t>Systems Engineer / Trainee</t>
        </is>
      </c>
      <c r="C4" s="9" t="inlineStr">
        <is>
          <t>https://careers.example.com/job/101</t>
        </is>
      </c>
      <c r="D4" s="10" t="inlineStr">
        <is>
          <t>2026-03-01</t>
        </is>
      </c>
      <c r="E4" s="10" t="inlineStr">
        <is>
          <t>2026-03-02</t>
        </is>
      </c>
      <c r="F4" s="9" t="inlineStr">
        <is>
          <t>Resume_Java_v1.pdf</t>
        </is>
      </c>
      <c r="G4" s="10" t="inlineStr">
        <is>
          <t>Company Careers Page</t>
        </is>
      </c>
      <c r="H4" s="10" t="inlineStr">
        <is>
          <t>Applied</t>
        </is>
      </c>
      <c r="I4" s="10" t="inlineStr">
        <is>
          <t>N/A</t>
        </is>
      </c>
      <c r="J4" s="10" t="inlineStr">
        <is>
          <t>2026-03-12</t>
        </is>
      </c>
      <c r="K4" s="9" t="inlineStr">
        <is>
          <t>Recruiter Team</t>
        </is>
      </c>
      <c r="L4" s="9" t="inlineStr">
        <is>
          <t>Applied via official portal; OA link expected within 10 days.</t>
        </is>
      </c>
    </row>
    <row r="5" ht="20" customHeight="1">
      <c r="A5" s="9" t="inlineStr">
        <is>
          <t>Swiggy / Zomato (Internship)</t>
        </is>
      </c>
      <c r="B5" s="9" t="inlineStr">
        <is>
          <t>Frontend Engineering Intern</t>
        </is>
      </c>
      <c r="C5" s="9" t="inlineStr">
        <is>
          <t>https://linkedin.com/jobs/view/102</t>
        </is>
      </c>
      <c r="D5" s="10" t="inlineStr">
        <is>
          <t>2026-03-03</t>
        </is>
      </c>
      <c r="E5" s="10" t="inlineStr">
        <is>
          <t>2026-03-03</t>
        </is>
      </c>
      <c r="F5" s="9" t="inlineStr">
        <is>
          <t>Resume_React_v2.pdf</t>
        </is>
      </c>
      <c r="G5" s="10" t="inlineStr">
        <is>
          <t>LinkedIn</t>
        </is>
      </c>
      <c r="H5" s="10" t="inlineStr">
        <is>
          <t>Assessment (OA)</t>
        </is>
      </c>
      <c r="I5" s="10" t="inlineStr">
        <is>
          <t>Online Assessment</t>
        </is>
      </c>
      <c r="J5" s="10" t="inlineStr">
        <is>
          <t>2026-03-08</t>
        </is>
      </c>
      <c r="K5" s="9" t="inlineStr">
        <is>
          <t>Priya (Campus Talent)</t>
        </is>
      </c>
      <c r="L5" s="9" t="inlineStr">
        <is>
          <t>Completed 90-min HackerRank test; 2 DSA problems solved.</t>
        </is>
      </c>
    </row>
    <row r="6" ht="20" customHeight="1">
      <c r="A6" s="9" t="inlineStr">
        <is>
          <t>FinTech Startup X</t>
        </is>
      </c>
      <c r="B6" s="9" t="inlineStr">
        <is>
          <t>Junior Backend Developer</t>
        </is>
      </c>
      <c r="C6" s="9" t="inlineStr">
        <is>
          <t>https://naukri.com/job/103</t>
        </is>
      </c>
      <c r="D6" s="10" t="inlineStr">
        <is>
          <t>2026-03-04</t>
        </is>
      </c>
      <c r="E6" s="10" t="inlineStr">
        <is>
          <t>2026-03-04</t>
        </is>
      </c>
      <c r="F6" s="9" t="inlineStr">
        <is>
          <t>Resume_Python_v1.pdf</t>
        </is>
      </c>
      <c r="G6" s="10" t="inlineStr">
        <is>
          <t>Naukri</t>
        </is>
      </c>
      <c r="H6" s="10" t="inlineStr">
        <is>
          <t>Interviewing</t>
        </is>
      </c>
      <c r="I6" s="10" t="inlineStr">
        <is>
          <t>Tech Round 1</t>
        </is>
      </c>
      <c r="J6" s="10" t="inlineStr">
        <is>
          <t>2026-03-10</t>
        </is>
      </c>
      <c r="K6" s="9" t="inlineStr">
        <is>
          <t>Anil (Engineering Lead)</t>
        </is>
      </c>
      <c r="L6" s="9" t="inlineStr">
        <is>
          <t>Technical interview scheduled for Tuesday 4 PM; review FastAPI &amp; SQL joins.</t>
        </is>
      </c>
    </row>
  </sheetData>
  <dataValidations count="3">
    <dataValidation sqref="G4:G500" showDropDown="0" showInputMessage="0" showErrorMessage="0" allowBlank="1" type="list">
      <formula1>"Naukri,LinkedIn,Company Careers Page,Referral,Campus,Internshala,Other"</formula1>
    </dataValidation>
    <dataValidation sqref="H4:H500" showDropDown="0" showInputMessage="0" showErrorMessage="0" allowBlank="1" type="list">
      <formula1>"Saved / To Apply,Applied,Assessment (OA),Interviewing,Offer Received,Rejected,Ghosted / No Reply"</formula1>
    </dataValidation>
    <dataValidation sqref="I4:I500" showDropDown="0" showInputMessage="0" showErrorMessage="0" allowBlank="1" type="list">
      <formula1>"N/A,Recruiter Screen,Online Assessment,Tech Round 1,Tech Round 2,Managerial / HR,Offer Discussion"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2026-10-02T13:24:09Z</dcterms:created>
  <dcterms:modified xmlns:dcterms="http://purl.org/dc/terms/" xmlns:xsi="http://www.w3.org/2001/XMLSchema-instance" xsi:type="dcterms:W3CDTF">2026-10-02T13:24:09Z</dcterms:modified>
</cp:coreProperties>
</file>